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ronto Ammor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 &quot;anni&quot;"/>
    <numFmt numFmtId="166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664CCD"/>
      <sz val="16"/>
    </font>
    <font>
      <name val="Calibri"/>
      <i val="1"/>
      <color rgb="00787782"/>
      <sz val="9"/>
    </font>
    <font>
      <name val="Calibri"/>
      <b val="1"/>
      <color rgb="00293C5B"/>
      <sz val="12"/>
    </font>
    <font>
      <name val="Calibri"/>
      <b val="1"/>
      <color rgb="00293C5B"/>
      <sz val="10"/>
    </font>
    <font>
      <name val="Calibri"/>
      <b val="1"/>
      <color rgb="00FE6F3A"/>
      <sz val="11"/>
    </font>
    <font>
      <name val="Calibri"/>
      <color rgb="00293C5B"/>
      <sz val="10"/>
    </font>
    <font>
      <name val="Calibri"/>
      <b val="1"/>
      <color rgb="00664CCD"/>
      <sz val="10"/>
    </font>
    <font>
      <name val="Calibri"/>
      <b val="1"/>
      <color rgb="00FFFFFF"/>
      <sz val="10"/>
    </font>
    <font>
      <name val="Calibri"/>
      <b val="1"/>
      <color rgb="0016A34A"/>
      <sz val="11"/>
    </font>
  </fonts>
  <fills count="6">
    <fill>
      <patternFill/>
    </fill>
    <fill>
      <patternFill patternType="gray125"/>
    </fill>
    <fill>
      <patternFill patternType="solid">
        <fgColor rgb="00FFF7ED"/>
        <bgColor rgb="00FFF7ED"/>
      </patternFill>
    </fill>
    <fill>
      <patternFill patternType="solid">
        <fgColor rgb="00664CCD"/>
        <bgColor rgb="00664CCD"/>
      </patternFill>
    </fill>
    <fill>
      <patternFill patternType="solid">
        <fgColor rgb="00F8F7FA"/>
        <bgColor rgb="00F8F7F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medium">
        <color rgb="00FE6F3A"/>
      </left>
      <right style="medium">
        <color rgb="00FE6F3A"/>
      </right>
      <top style="medium">
        <color rgb="00FE6F3A"/>
      </top>
      <bottom style="medium">
        <color rgb="00FE6F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right" vertical="center"/>
    </xf>
    <xf numFmtId="10" fontId="5" fillId="2" borderId="1" applyAlignment="1" pivotButton="0" quotePrefix="0" xfId="0">
      <alignment horizontal="right" vertical="center"/>
    </xf>
    <xf numFmtId="9" fontId="5" fillId="2" borderId="1" applyAlignment="1" pivotButton="0" quotePrefix="0" xfId="0">
      <alignment horizontal="right" vertical="center"/>
    </xf>
    <xf numFmtId="1" fontId="5" fillId="2" borderId="1" applyAlignment="1" pivotButton="0" quotePrefix="0" xfId="0">
      <alignment horizontal="right" vertical="center"/>
    </xf>
    <xf numFmtId="0" fontId="6" fillId="0" borderId="0" pivotButton="0" quotePrefix="0" xfId="0"/>
    <xf numFmtId="165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4" fillId="4" borderId="0" pivotButton="0" quotePrefix="0" xfId="0"/>
    <xf numFmtId="166" fontId="9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64CCD"/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Confronto ammortamento: Ordinario vs Iperammortamento vs Leasing</t>
        </is>
      </c>
    </row>
    <row r="2">
      <c r="A2" s="2" t="inlineStr">
        <is>
          <t>Modifica le celle arancioni per aggiornare automaticamente tutti i calcoli</t>
        </is>
      </c>
    </row>
    <row r="4">
      <c r="A4" s="3" t="inlineStr">
        <is>
          <t>PARAMETRI (modifica qui)</t>
        </is>
      </c>
    </row>
    <row r="5">
      <c r="A5" s="4" t="inlineStr">
        <is>
          <t>Costo impianto (€, netto IVA)</t>
        </is>
      </c>
      <c r="B5" s="5" t="n">
        <v>130000</v>
      </c>
    </row>
    <row r="6">
      <c r="A6" s="4" t="inlineStr">
        <is>
          <t>Coefficiente ammortamento DM 1988</t>
        </is>
      </c>
      <c r="B6" s="6" t="n">
        <v>0.09</v>
      </c>
    </row>
    <row r="7">
      <c r="A7" s="4" t="inlineStr">
        <is>
          <t>Maggiorazione iperammortamento</t>
        </is>
      </c>
      <c r="B7" s="7" t="n">
        <v>1.8</v>
      </c>
    </row>
    <row r="8">
      <c r="A8" s="4" t="inlineStr">
        <is>
          <t>Aliquota IRES + IRAP</t>
        </is>
      </c>
      <c r="B8" s="6" t="n">
        <v>0.278</v>
      </c>
    </row>
    <row r="9">
      <c r="A9" s="4" t="inlineStr">
        <is>
          <t>Durata leasing (anni)</t>
        </is>
      </c>
      <c r="B9" s="8" t="n">
        <v>6</v>
      </c>
    </row>
    <row r="11">
      <c r="A11" s="4" t="inlineStr">
        <is>
          <t>VALORI CALCOLATI</t>
        </is>
      </c>
    </row>
    <row r="12">
      <c r="A12" s="9" t="inlineStr">
        <is>
          <t>Vita utile fiscale (anni)</t>
        </is>
      </c>
      <c r="B12" s="10">
        <f>ROUND(1/B6,0)</f>
        <v/>
      </c>
    </row>
    <row r="13">
      <c r="A13" s="9" t="inlineStr">
        <is>
          <t>Costo ammortizzabile iper (280%)</t>
        </is>
      </c>
      <c r="B13" s="11">
        <f>B5*(1+B7)</f>
        <v/>
      </c>
    </row>
    <row r="14">
      <c r="A14" s="9" t="inlineStr">
        <is>
          <t>Maggiorazione netta (€)</t>
        </is>
      </c>
      <c r="B14" s="11">
        <f>B5*B7</f>
        <v/>
      </c>
    </row>
    <row r="15">
      <c r="A15" s="9" t="inlineStr">
        <is>
          <t>Quota ammortamento ordinario annua</t>
        </is>
      </c>
      <c r="B15" s="11">
        <f>B5*B6</f>
        <v/>
      </c>
    </row>
    <row r="16">
      <c r="A16" s="9" t="inlineStr">
        <is>
          <t>Quota ammortamento iper annua (su 280%)</t>
        </is>
      </c>
      <c r="B16" s="11">
        <f>B13*B6</f>
        <v/>
      </c>
    </row>
    <row r="17">
      <c r="A17" s="9" t="inlineStr">
        <is>
          <t>Deduzione leasing annua (quota capitale)</t>
        </is>
      </c>
      <c r="B17" s="11">
        <f>B5/B9</f>
        <v/>
      </c>
    </row>
    <row r="18">
      <c r="A18" s="9" t="inlineStr">
        <is>
          <t>Deduzione leasing iper annua (280%/durata)</t>
        </is>
      </c>
      <c r="B18" s="11">
        <f>B13/B9</f>
        <v/>
      </c>
    </row>
    <row r="20">
      <c r="A20" s="3" t="inlineStr">
        <is>
          <t>SCENARIO A — Acquisto diretto (ammortamento ordinario + iperammortamento)</t>
        </is>
      </c>
    </row>
    <row r="21">
      <c r="A21" s="12" t="inlineStr">
        <is>
          <t>Anno</t>
        </is>
      </c>
      <c r="B21" s="12" t="inlineStr">
        <is>
          <t>Amm. ordinario</t>
        </is>
      </c>
      <c r="C21" s="12" t="inlineStr">
        <is>
          <t>Amm. iper (+180%)</t>
        </is>
      </c>
      <c r="D21" s="12" t="inlineStr">
        <is>
          <t>Totale deducibile</t>
        </is>
      </c>
      <c r="E21" s="12" t="inlineStr">
        <is>
          <t>Risparmio fiscale</t>
        </is>
      </c>
      <c r="F21" s="12" t="inlineStr">
        <is>
          <t>Cumulato</t>
        </is>
      </c>
      <c r="G21" s="12" t="inlineStr">
        <is>
          <t>Residuo da ammortizzare</t>
        </is>
      </c>
    </row>
    <row r="22">
      <c r="A22" s="13" t="n">
        <v>1</v>
      </c>
      <c r="B22" s="14">
        <f>IF(A22&lt;=B12, MIN(B15, B5), 0)</f>
        <v/>
      </c>
      <c r="C22" s="14">
        <f>IF(A22&lt;=B12, MIN(B16-B15, B14), 0)</f>
        <v/>
      </c>
      <c r="D22" s="14">
        <f>B22+C22</f>
        <v/>
      </c>
      <c r="E22" s="14">
        <f>D22*B8</f>
        <v/>
      </c>
      <c r="F22" s="14">
        <f>E22</f>
        <v/>
      </c>
      <c r="G22" s="14">
        <f>B13-SUM(D22:D22)</f>
        <v/>
      </c>
    </row>
    <row r="23">
      <c r="A23" s="15" t="n">
        <v>2</v>
      </c>
      <c r="B23" s="16">
        <f>IF(A23&lt;=B12, MIN(B15, B5-SUM(B22:B22)), 0)</f>
        <v/>
      </c>
      <c r="C23" s="16">
        <f>IF(A23&lt;=B12, MIN(B16-B15, B14-SUM(C22:C22)), 0)</f>
        <v/>
      </c>
      <c r="D23" s="16">
        <f>B23+C23</f>
        <v/>
      </c>
      <c r="E23" s="16">
        <f>D23*B8</f>
        <v/>
      </c>
      <c r="F23" s="16">
        <f>F22+E23</f>
        <v/>
      </c>
      <c r="G23" s="16">
        <f>B13-SUM(D22:D23)</f>
        <v/>
      </c>
    </row>
    <row r="24">
      <c r="A24" s="13" t="n">
        <v>3</v>
      </c>
      <c r="B24" s="14">
        <f>IF(A24&lt;=B12, MIN(B15, B5-SUM(B22:B23)), 0)</f>
        <v/>
      </c>
      <c r="C24" s="14">
        <f>IF(A24&lt;=B12, MIN(B16-B15, B14-SUM(C22:C23)), 0)</f>
        <v/>
      </c>
      <c r="D24" s="14">
        <f>B24+C24</f>
        <v/>
      </c>
      <c r="E24" s="14">
        <f>D24*B8</f>
        <v/>
      </c>
      <c r="F24" s="14">
        <f>F23+E24</f>
        <v/>
      </c>
      <c r="G24" s="14">
        <f>B13-SUM(D22:D24)</f>
        <v/>
      </c>
    </row>
    <row r="25">
      <c r="A25" s="15" t="n">
        <v>4</v>
      </c>
      <c r="B25" s="16">
        <f>IF(A25&lt;=B12, MIN(B15, B5-SUM(B22:B24)), 0)</f>
        <v/>
      </c>
      <c r="C25" s="16">
        <f>IF(A25&lt;=B12, MIN(B16-B15, B14-SUM(C22:C24)), 0)</f>
        <v/>
      </c>
      <c r="D25" s="16">
        <f>B25+C25</f>
        <v/>
      </c>
      <c r="E25" s="16">
        <f>D25*B8</f>
        <v/>
      </c>
      <c r="F25" s="16">
        <f>F24+E25</f>
        <v/>
      </c>
      <c r="G25" s="16">
        <f>B13-SUM(D22:D25)</f>
        <v/>
      </c>
    </row>
    <row r="26">
      <c r="A26" s="13" t="n">
        <v>5</v>
      </c>
      <c r="B26" s="14">
        <f>IF(A26&lt;=B12, MIN(B15, B5-SUM(B22:B25)), 0)</f>
        <v/>
      </c>
      <c r="C26" s="14">
        <f>IF(A26&lt;=B12, MIN(B16-B15, B14-SUM(C22:C25)), 0)</f>
        <v/>
      </c>
      <c r="D26" s="14">
        <f>B26+C26</f>
        <v/>
      </c>
      <c r="E26" s="14">
        <f>D26*B8</f>
        <v/>
      </c>
      <c r="F26" s="14">
        <f>F25+E26</f>
        <v/>
      </c>
      <c r="G26" s="14">
        <f>B13-SUM(D22:D26)</f>
        <v/>
      </c>
    </row>
    <row r="27">
      <c r="A27" s="15" t="n">
        <v>6</v>
      </c>
      <c r="B27" s="16">
        <f>IF(A27&lt;=B12, MIN(B15, B5-SUM(B22:B26)), 0)</f>
        <v/>
      </c>
      <c r="C27" s="16">
        <f>IF(A27&lt;=B12, MIN(B16-B15, B14-SUM(C22:C26)), 0)</f>
        <v/>
      </c>
      <c r="D27" s="16">
        <f>B27+C27</f>
        <v/>
      </c>
      <c r="E27" s="16">
        <f>D27*B8</f>
        <v/>
      </c>
      <c r="F27" s="16">
        <f>F26+E27</f>
        <v/>
      </c>
      <c r="G27" s="16">
        <f>B13-SUM(D22:D27)</f>
        <v/>
      </c>
    </row>
    <row r="28">
      <c r="A28" s="13" t="n">
        <v>7</v>
      </c>
      <c r="B28" s="14">
        <f>IF(A28&lt;=B12, MIN(B15, B5-SUM(B22:B27)), 0)</f>
        <v/>
      </c>
      <c r="C28" s="14">
        <f>IF(A28&lt;=B12, MIN(B16-B15, B14-SUM(C22:C27)), 0)</f>
        <v/>
      </c>
      <c r="D28" s="14">
        <f>B28+C28</f>
        <v/>
      </c>
      <c r="E28" s="14">
        <f>D28*B8</f>
        <v/>
      </c>
      <c r="F28" s="14">
        <f>F27+E28</f>
        <v/>
      </c>
      <c r="G28" s="14">
        <f>B13-SUM(D22:D28)</f>
        <v/>
      </c>
    </row>
    <row r="29">
      <c r="A29" s="15" t="n">
        <v>8</v>
      </c>
      <c r="B29" s="16">
        <f>IF(A29&lt;=B12, MIN(B15, B5-SUM(B22:B28)), 0)</f>
        <v/>
      </c>
      <c r="C29" s="16">
        <f>IF(A29&lt;=B12, MIN(B16-B15, B14-SUM(C22:C28)), 0)</f>
        <v/>
      </c>
      <c r="D29" s="16">
        <f>B29+C29</f>
        <v/>
      </c>
      <c r="E29" s="16">
        <f>D29*B8</f>
        <v/>
      </c>
      <c r="F29" s="16">
        <f>F28+E29</f>
        <v/>
      </c>
      <c r="G29" s="16">
        <f>B13-SUM(D22:D29)</f>
        <v/>
      </c>
    </row>
    <row r="30">
      <c r="A30" s="13" t="n">
        <v>9</v>
      </c>
      <c r="B30" s="14">
        <f>IF(A30&lt;=B12, MIN(B15, B5-SUM(B22:B29)), 0)</f>
        <v/>
      </c>
      <c r="C30" s="14">
        <f>IF(A30&lt;=B12, MIN(B16-B15, B14-SUM(C22:C29)), 0)</f>
        <v/>
      </c>
      <c r="D30" s="14">
        <f>B30+C30</f>
        <v/>
      </c>
      <c r="E30" s="14">
        <f>D30*B8</f>
        <v/>
      </c>
      <c r="F30" s="14">
        <f>F29+E30</f>
        <v/>
      </c>
      <c r="G30" s="14">
        <f>B13-SUM(D22:D30)</f>
        <v/>
      </c>
    </row>
    <row r="31">
      <c r="A31" s="15" t="n">
        <v>10</v>
      </c>
      <c r="B31" s="16">
        <f>IF(A31&lt;=B12, MIN(B15, B5-SUM(B22:B30)), 0)</f>
        <v/>
      </c>
      <c r="C31" s="16">
        <f>IF(A31&lt;=B12, MIN(B16-B15, B14-SUM(C22:C30)), 0)</f>
        <v/>
      </c>
      <c r="D31" s="16">
        <f>B31+C31</f>
        <v/>
      </c>
      <c r="E31" s="16">
        <f>D31*B8</f>
        <v/>
      </c>
      <c r="F31" s="16">
        <f>F30+E31</f>
        <v/>
      </c>
      <c r="G31" s="16">
        <f>B13-SUM(D22:D31)</f>
        <v/>
      </c>
    </row>
    <row r="32">
      <c r="A32" s="13" t="n">
        <v>11</v>
      </c>
      <c r="B32" s="14">
        <f>IF(A32&lt;=B12, MIN(B15, B5-SUM(B22:B31)), 0)</f>
        <v/>
      </c>
      <c r="C32" s="14">
        <f>IF(A32&lt;=B12, MIN(B16-B15, B14-SUM(C22:C31)), 0)</f>
        <v/>
      </c>
      <c r="D32" s="14">
        <f>B32+C32</f>
        <v/>
      </c>
      <c r="E32" s="14">
        <f>D32*B8</f>
        <v/>
      </c>
      <c r="F32" s="14">
        <f>F31+E32</f>
        <v/>
      </c>
      <c r="G32" s="14">
        <f>B13-SUM(D22:D32)</f>
        <v/>
      </c>
    </row>
    <row r="33">
      <c r="A33" s="15" t="n">
        <v>12</v>
      </c>
      <c r="B33" s="16">
        <f>IF(A33&lt;=B12, MIN(B15, B5-SUM(B22:B32)), 0)</f>
        <v/>
      </c>
      <c r="C33" s="16">
        <f>IF(A33&lt;=B12, MIN(B16-B15, B14-SUM(C22:C32)), 0)</f>
        <v/>
      </c>
      <c r="D33" s="16">
        <f>B33+C33</f>
        <v/>
      </c>
      <c r="E33" s="16">
        <f>D33*B8</f>
        <v/>
      </c>
      <c r="F33" s="16">
        <f>F32+E33</f>
        <v/>
      </c>
      <c r="G33" s="16">
        <f>B13-SUM(D22:D33)</f>
        <v/>
      </c>
    </row>
    <row r="34">
      <c r="A34" s="13" t="n">
        <v>13</v>
      </c>
      <c r="B34" s="14">
        <f>IF(A34&lt;=B12, MIN(B15, B5-SUM(B22:B33)), 0)</f>
        <v/>
      </c>
      <c r="C34" s="14">
        <f>IF(A34&lt;=B12, MIN(B16-B15, B14-SUM(C22:C33)), 0)</f>
        <v/>
      </c>
      <c r="D34" s="14">
        <f>B34+C34</f>
        <v/>
      </c>
      <c r="E34" s="14">
        <f>D34*B8</f>
        <v/>
      </c>
      <c r="F34" s="14">
        <f>F33+E34</f>
        <v/>
      </c>
      <c r="G34" s="14">
        <f>B13-SUM(D22:D34)</f>
        <v/>
      </c>
    </row>
    <row r="35">
      <c r="A35" s="15" t="n">
        <v>14</v>
      </c>
      <c r="B35" s="16">
        <f>IF(A35&lt;=B12, MIN(B15, B5-SUM(B22:B34)), 0)</f>
        <v/>
      </c>
      <c r="C35" s="16">
        <f>IF(A35&lt;=B12, MIN(B16-B15, B14-SUM(C22:C34)), 0)</f>
        <v/>
      </c>
      <c r="D35" s="16">
        <f>B35+C35</f>
        <v/>
      </c>
      <c r="E35" s="16">
        <f>D35*B8</f>
        <v/>
      </c>
      <c r="F35" s="16">
        <f>F34+E35</f>
        <v/>
      </c>
      <c r="G35" s="16">
        <f>B13-SUM(D22:D35)</f>
        <v/>
      </c>
    </row>
    <row r="36">
      <c r="A36" s="13" t="n">
        <v>15</v>
      </c>
      <c r="B36" s="14">
        <f>IF(A36&lt;=B12, MIN(B15, B5-SUM(B22:B35)), 0)</f>
        <v/>
      </c>
      <c r="C36" s="14">
        <f>IF(A36&lt;=B12, MIN(B16-B15, B14-SUM(C22:C35)), 0)</f>
        <v/>
      </c>
      <c r="D36" s="14">
        <f>B36+C36</f>
        <v/>
      </c>
      <c r="E36" s="14">
        <f>D36*B8</f>
        <v/>
      </c>
      <c r="F36" s="14">
        <f>F35+E36</f>
        <v/>
      </c>
      <c r="G36" s="14">
        <f>B13-SUM(D22:D36)</f>
        <v/>
      </c>
    </row>
    <row r="38">
      <c r="A38" s="17" t="inlineStr">
        <is>
          <t>TOTALE</t>
        </is>
      </c>
      <c r="B38" s="18">
        <f>SUM(B22:B36)</f>
        <v/>
      </c>
      <c r="C38" s="18">
        <f>SUM(C22:C36)</f>
        <v/>
      </c>
      <c r="D38" s="18">
        <f>SUM(D22:D36)</f>
        <v/>
      </c>
      <c r="E38" s="18">
        <f>SUM(E22:E36)</f>
        <v/>
      </c>
      <c r="F38" s="19">
        <f>F36</f>
        <v/>
      </c>
    </row>
    <row r="40">
      <c r="A40" s="3" t="inlineStr">
        <is>
          <t>SCENARIO B — Leasing finanziario (ammortamento dimezzato, Art. 102 c.7 TUIR)</t>
        </is>
      </c>
    </row>
    <row r="41">
      <c r="A41" s="12" t="inlineStr">
        <is>
          <t>Anno</t>
        </is>
      </c>
      <c r="B41" s="12" t="inlineStr">
        <is>
          <t>Deduz. canoni (q.ta capitale)</t>
        </is>
      </c>
      <c r="C41" s="12" t="inlineStr">
        <is>
          <t>Deduz. iper (280%/durata)</t>
        </is>
      </c>
      <c r="D41" s="12" t="inlineStr">
        <is>
          <t>Totale deducibile</t>
        </is>
      </c>
      <c r="E41" s="12" t="inlineStr">
        <is>
          <t>Risparmio fiscale</t>
        </is>
      </c>
      <c r="F41" s="12" t="inlineStr">
        <is>
          <t>Cumulato</t>
        </is>
      </c>
      <c r="G41" s="12" t="inlineStr">
        <is>
          <t>Residuo</t>
        </is>
      </c>
    </row>
    <row r="42">
      <c r="A42" s="13" t="n">
        <v>1</v>
      </c>
      <c r="B42" s="14">
        <f>IF(A42&lt;=B9, B17, 0)</f>
        <v/>
      </c>
      <c r="C42" s="14">
        <f>IF(A42&lt;=B9, B14/B9, 0)</f>
        <v/>
      </c>
      <c r="D42" s="14">
        <f>B42+C42</f>
        <v/>
      </c>
      <c r="E42" s="14">
        <f>D42*B8</f>
        <v/>
      </c>
      <c r="F42" s="14">
        <f>E42</f>
        <v/>
      </c>
      <c r="G42" s="14">
        <f>B13-SUM(D42:D42)</f>
        <v/>
      </c>
    </row>
    <row r="43">
      <c r="A43" s="15" t="n">
        <v>2</v>
      </c>
      <c r="B43" s="16">
        <f>IF(A43&lt;=B9, B17, 0)</f>
        <v/>
      </c>
      <c r="C43" s="16">
        <f>IF(A43&lt;=B9, B14/B9, 0)</f>
        <v/>
      </c>
      <c r="D43" s="16">
        <f>B43+C43</f>
        <v/>
      </c>
      <c r="E43" s="16">
        <f>D43*B8</f>
        <v/>
      </c>
      <c r="F43" s="16">
        <f>F42+E43</f>
        <v/>
      </c>
      <c r="G43" s="16">
        <f>B13-SUM(D42:D43)</f>
        <v/>
      </c>
    </row>
    <row r="44">
      <c r="A44" s="13" t="n">
        <v>3</v>
      </c>
      <c r="B44" s="14">
        <f>IF(A44&lt;=B9, B17, 0)</f>
        <v/>
      </c>
      <c r="C44" s="14">
        <f>IF(A44&lt;=B9, B14/B9, 0)</f>
        <v/>
      </c>
      <c r="D44" s="14">
        <f>B44+C44</f>
        <v/>
      </c>
      <c r="E44" s="14">
        <f>D44*B8</f>
        <v/>
      </c>
      <c r="F44" s="14">
        <f>F43+E44</f>
        <v/>
      </c>
      <c r="G44" s="14">
        <f>B13-SUM(D42:D44)</f>
        <v/>
      </c>
    </row>
    <row r="45">
      <c r="A45" s="15" t="n">
        <v>4</v>
      </c>
      <c r="B45" s="16">
        <f>IF(A45&lt;=B9, B17, 0)</f>
        <v/>
      </c>
      <c r="C45" s="16">
        <f>IF(A45&lt;=B9, B14/B9, 0)</f>
        <v/>
      </c>
      <c r="D45" s="16">
        <f>B45+C45</f>
        <v/>
      </c>
      <c r="E45" s="16">
        <f>D45*B8</f>
        <v/>
      </c>
      <c r="F45" s="16">
        <f>F44+E45</f>
        <v/>
      </c>
      <c r="G45" s="16">
        <f>B13-SUM(D42:D45)</f>
        <v/>
      </c>
    </row>
    <row r="46">
      <c r="A46" s="13" t="n">
        <v>5</v>
      </c>
      <c r="B46" s="14">
        <f>IF(A46&lt;=B9, B17, 0)</f>
        <v/>
      </c>
      <c r="C46" s="14">
        <f>IF(A46&lt;=B9, B14/B9, 0)</f>
        <v/>
      </c>
      <c r="D46" s="14">
        <f>B46+C46</f>
        <v/>
      </c>
      <c r="E46" s="14">
        <f>D46*B8</f>
        <v/>
      </c>
      <c r="F46" s="14">
        <f>F45+E46</f>
        <v/>
      </c>
      <c r="G46" s="14">
        <f>B13-SUM(D42:D46)</f>
        <v/>
      </c>
    </row>
    <row r="47">
      <c r="A47" s="15" t="n">
        <v>6</v>
      </c>
      <c r="B47" s="16">
        <f>IF(A47&lt;=B9, B17, 0)</f>
        <v/>
      </c>
      <c r="C47" s="16">
        <f>IF(A47&lt;=B9, B14/B9, 0)</f>
        <v/>
      </c>
      <c r="D47" s="16">
        <f>B47+C47</f>
        <v/>
      </c>
      <c r="E47" s="16">
        <f>D47*B8</f>
        <v/>
      </c>
      <c r="F47" s="16">
        <f>F46+E47</f>
        <v/>
      </c>
      <c r="G47" s="16">
        <f>B13-SUM(D42:D47)</f>
        <v/>
      </c>
    </row>
    <row r="48">
      <c r="A48" s="13" t="n">
        <v>7</v>
      </c>
      <c r="B48" s="14">
        <f>IF(A48&lt;=B9, B17, 0)</f>
        <v/>
      </c>
      <c r="C48" s="14">
        <f>IF(A48&lt;=B9, B14/B9, 0)</f>
        <v/>
      </c>
      <c r="D48" s="14">
        <f>B48+C48</f>
        <v/>
      </c>
      <c r="E48" s="14">
        <f>D48*B8</f>
        <v/>
      </c>
      <c r="F48" s="14">
        <f>F47+E48</f>
        <v/>
      </c>
      <c r="G48" s="14">
        <f>B13-SUM(D42:D48)</f>
        <v/>
      </c>
    </row>
    <row r="49">
      <c r="A49" s="15" t="n">
        <v>8</v>
      </c>
      <c r="B49" s="16">
        <f>IF(A49&lt;=B9, B17, 0)</f>
        <v/>
      </c>
      <c r="C49" s="16">
        <f>IF(A49&lt;=B9, B14/B9, 0)</f>
        <v/>
      </c>
      <c r="D49" s="16">
        <f>B49+C49</f>
        <v/>
      </c>
      <c r="E49" s="16">
        <f>D49*B8</f>
        <v/>
      </c>
      <c r="F49" s="16">
        <f>F48+E49</f>
        <v/>
      </c>
      <c r="G49" s="16">
        <f>B13-SUM(D42:D49)</f>
        <v/>
      </c>
    </row>
    <row r="50">
      <c r="A50" s="13" t="n">
        <v>9</v>
      </c>
      <c r="B50" s="14">
        <f>IF(A50&lt;=B9, B17, 0)</f>
        <v/>
      </c>
      <c r="C50" s="14">
        <f>IF(A50&lt;=B9, B14/B9, 0)</f>
        <v/>
      </c>
      <c r="D50" s="14">
        <f>B50+C50</f>
        <v/>
      </c>
      <c r="E50" s="14">
        <f>D50*B8</f>
        <v/>
      </c>
      <c r="F50" s="14">
        <f>F49+E50</f>
        <v/>
      </c>
      <c r="G50" s="14">
        <f>B13-SUM(D42:D50)</f>
        <v/>
      </c>
    </row>
    <row r="51">
      <c r="A51" s="15" t="n">
        <v>10</v>
      </c>
      <c r="B51" s="16">
        <f>IF(A51&lt;=B9, B17, 0)</f>
        <v/>
      </c>
      <c r="C51" s="16">
        <f>IF(A51&lt;=B9, B14/B9, 0)</f>
        <v/>
      </c>
      <c r="D51" s="16">
        <f>B51+C51</f>
        <v/>
      </c>
      <c r="E51" s="16">
        <f>D51*B8</f>
        <v/>
      </c>
      <c r="F51" s="16">
        <f>F50+E51</f>
        <v/>
      </c>
      <c r="G51" s="16">
        <f>B13-SUM(D42:D51)</f>
        <v/>
      </c>
    </row>
    <row r="52">
      <c r="A52" s="17" t="inlineStr">
        <is>
          <t>TOTALE</t>
        </is>
      </c>
      <c r="B52" s="18">
        <f>SUM(B42:B51)</f>
        <v/>
      </c>
      <c r="C52" s="18">
        <f>SUM(C42:C51)</f>
        <v/>
      </c>
      <c r="D52" s="18">
        <f>SUM(D42:D51)</f>
        <v/>
      </c>
      <c r="E52" s="18">
        <f>SUM(E42:E51)</f>
        <v/>
      </c>
      <c r="F52" s="19">
        <f>F51</f>
        <v/>
      </c>
    </row>
    <row r="54">
      <c r="A54" s="3" t="inlineStr">
        <is>
          <t>RIEPILOGO COMPARATIVO</t>
        </is>
      </c>
    </row>
    <row r="55">
      <c r="A55" s="12" t="inlineStr"/>
      <c r="B55" s="12" t="inlineStr">
        <is>
          <t>Acquisto diretto</t>
        </is>
      </c>
      <c r="C55" s="12" t="inlineStr">
        <is>
          <t>Leasing finanziario</t>
        </is>
      </c>
      <c r="D55" s="12" t="inlineStr">
        <is>
          <t>Vantaggio leasing</t>
        </is>
      </c>
    </row>
    <row r="56">
      <c r="A56" s="4" t="inlineStr">
        <is>
          <t>Periodo di deduzione</t>
        </is>
      </c>
      <c r="B56" s="20">
        <f>B12&amp;" anni"</f>
        <v/>
      </c>
      <c r="C56" s="20">
        <f>B9&amp;" anni"</f>
        <v/>
      </c>
      <c r="D56" s="21">
        <f>(B12-B9)&amp;" anni in meno"</f>
        <v/>
      </c>
    </row>
    <row r="57">
      <c r="A57" s="22" t="inlineStr">
        <is>
          <t>Beneficio fiscale totale</t>
        </is>
      </c>
      <c r="B57" s="16">
        <f>F36</f>
        <v/>
      </c>
      <c r="C57" s="16">
        <f>F51</f>
        <v/>
      </c>
      <c r="D57" s="23">
        <f>C57-B57</f>
        <v/>
      </c>
    </row>
    <row r="58">
      <c r="A58" s="4" t="inlineStr">
        <is>
          <t>Risparmio fiscale anno 1</t>
        </is>
      </c>
      <c r="B58" s="14">
        <f>E22</f>
        <v/>
      </c>
      <c r="C58" s="14">
        <f>E42</f>
        <v/>
      </c>
      <c r="D58" s="23">
        <f>C58-B58</f>
        <v/>
      </c>
    </row>
    <row r="59">
      <c r="A59" s="22" t="inlineStr">
        <is>
          <t>Risparmio cumulato anno 3</t>
        </is>
      </c>
      <c r="B59" s="16">
        <f>F24</f>
        <v/>
      </c>
      <c r="C59" s="16">
        <f>F44</f>
        <v/>
      </c>
      <c r="D59" s="23">
        <f>C59-B59</f>
        <v/>
      </c>
    </row>
    <row r="60">
      <c r="A60" s="4" t="inlineStr">
        <is>
          <t>Risparmio cumulato anno 5</t>
        </is>
      </c>
      <c r="B60" s="14">
        <f>F26</f>
        <v/>
      </c>
      <c r="C60" s="14">
        <f>F46</f>
        <v/>
      </c>
      <c r="D60" s="23">
        <f>C60-B60</f>
        <v/>
      </c>
    </row>
    <row r="62">
      <c r="A62" s="2" t="inlineStr">
        <is>
          <t>Note:</t>
        </is>
      </c>
    </row>
    <row r="63">
      <c r="A63" s="2" t="inlineStr">
        <is>
          <t>• Le celle arancioni sono modificabili: cambia il costo impianto e tutti i calcoli si aggiornano</t>
        </is>
      </c>
    </row>
    <row r="64">
      <c r="A64" s="2" t="inlineStr">
        <is>
          <t>• Art. 102, comma 7, TUIR (mod. L. 147/2013): durata minima leasing beni mobili = 1/2 vita utile</t>
        </is>
      </c>
    </row>
    <row r="65">
      <c r="A65" s="2" t="inlineStr">
        <is>
          <t>• Iperammortamento 2026 (L. 199/2025): costo ammortizzabile al 280% (100% ordinario + 180% maggiorazione)</t>
        </is>
      </c>
    </row>
    <row r="66">
      <c r="A66" s="2" t="inlineStr">
        <is>
          <t>• Aliquota 27,8% = IRES 24% + IRAP 3,8%</t>
        </is>
      </c>
    </row>
    <row r="67">
      <c r="A67" s="2" t="inlineStr">
        <is>
          <t>• Impianto FV classificato bene mobile (coeff. 9%, DM 31/12/1988)</t>
        </is>
      </c>
    </row>
    <row r="68">
      <c r="A68" s="2" t="inlineStr">
        <is>
          <t>• Il beneficio fiscale totale è identico, ma il leasing anticipa il cash-flow nei primi anni</t>
        </is>
      </c>
    </row>
  </sheetData>
  <mergeCells count="6">
    <mergeCell ref="A4:B4"/>
    <mergeCell ref="A1:G1"/>
    <mergeCell ref="A40:G40"/>
    <mergeCell ref="A54:E54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2026-04-21T07:04:05Z</dcterms:created>
  <dcterms:modified xmlns:dcterms="http://purl.org/dc/terms/" xmlns:xsi="http://www.w3.org/2001/XMLSchema-instance" xsi:type="dcterms:W3CDTF">2026-04-21T07:04:05Z</dcterms:modified>
</cp:coreProperties>
</file>